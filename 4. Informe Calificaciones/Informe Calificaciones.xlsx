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esktop\"/>
    </mc:Choice>
  </mc:AlternateContent>
  <xr:revisionPtr revIDLastSave="0" documentId="13_ncr:1_{C8DCC85A-94F4-45F2-9D11-63B739C222B8}" xr6:coauthVersionLast="47" xr6:coauthVersionMax="47" xr10:uidLastSave="{00000000-0000-0000-0000-000000000000}"/>
  <bookViews>
    <workbookView xWindow="-108" yWindow="-108" windowWidth="23256" windowHeight="12456" xr2:uid="{F81D7EF4-C769-4EFC-AA3D-8C02C15F8A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J6" i="1" s="1" a="1"/>
  <c r="J6" i="1" s="1"/>
  <c r="H6" i="1"/>
  <c r="L5" i="1" a="1"/>
  <c r="L5" i="1" s="1"/>
  <c r="H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<sst xmlns="http://schemas.openxmlformats.org/spreadsheetml/2006/main" count="37" uniqueCount="37">
  <si>
    <t>Asignatura: Análisis de Datos</t>
  </si>
  <si>
    <t>Año: 20X1</t>
  </si>
  <si>
    <t>Estudiante</t>
  </si>
  <si>
    <t>Examen 1</t>
  </si>
  <si>
    <t>Examen 2</t>
  </si>
  <si>
    <t>Examen 3</t>
  </si>
  <si>
    <t>Trabajo Práctico 1</t>
  </si>
  <si>
    <t>Trabajo Práctico 2</t>
  </si>
  <si>
    <t>Exposición Oral</t>
  </si>
  <si>
    <t>Califación Final</t>
  </si>
  <si>
    <t>Calificación Promedio Estudiantes que Desaprobaron:</t>
  </si>
  <si>
    <t>Lista en Orden Alfabético</t>
  </si>
  <si>
    <t>Chávez</t>
  </si>
  <si>
    <t>Antuna</t>
  </si>
  <si>
    <t>Romo</t>
  </si>
  <si>
    <t>Talavera</t>
  </si>
  <si>
    <t>Lozano</t>
  </si>
  <si>
    <t>Alvarado</t>
  </si>
  <si>
    <t>Gallardo</t>
  </si>
  <si>
    <t>Ochoa</t>
  </si>
  <si>
    <t>Pineda</t>
  </si>
  <si>
    <t>Araujo</t>
  </si>
  <si>
    <t>Funes</t>
  </si>
  <si>
    <t>Sánchez</t>
  </si>
  <si>
    <t>Herrera</t>
  </si>
  <si>
    <t>Jiménez</t>
  </si>
  <si>
    <t>Guardado</t>
  </si>
  <si>
    <t>Montes</t>
  </si>
  <si>
    <t>Rodríguez</t>
  </si>
  <si>
    <t>Moreno</t>
  </si>
  <si>
    <t>Gutiérrez</t>
  </si>
  <si>
    <t>Álvarez</t>
  </si>
  <si>
    <t>Vega</t>
  </si>
  <si>
    <t>Martín</t>
  </si>
  <si>
    <t>Vásquez</t>
  </si>
  <si>
    <t>Cota</t>
  </si>
  <si>
    <t>Arteaga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</si>
</sst>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0" fillId="0" borderId="1" xfId="0" applyBorder="1" applyAlignment="1">
      <alignment horizontal="center" wrapText="1"/>
    </xf>
    <xf numFmtId="1" fontId="2" fillId="4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96C7-DF38-401A-8EF1-EC7655BBFF99}">
  <dimension ref="A1:L29"/>
  <sheetViews>
    <sheetView tabSelected="1" zoomScale="85" zoomScaleNormal="85" workbookViewId="0">
      <selection activeCell="N6" sqref="N6"/>
    </sheetView>
  </sheetViews>
  <sheetFormatPr baseColWidth="10" defaultRowHeight="14.4" x14ac:dyDescent="0.3"/>
  <cols>
    <col min="2" max="7" width="10.44140625" style="7" customWidth="1"/>
    <col min="8" max="8" width="12.6640625" customWidth="1"/>
    <col min="9" max="9" width="2.6640625" customWidth="1"/>
    <col min="10" max="10" width="23.44140625" bestFit="1" customWidth="1"/>
    <col min="11" max="11" width="2.6640625" customWidth="1"/>
    <col min="12" max="12" width="25.33203125" customWidth="1"/>
  </cols>
  <sheetData>
    <row r="1" spans="1:12" x14ac:dyDescent="0.3">
      <c r="A1" s="8" t="s">
        <v>0</v>
      </c>
      <c r="B1" s="8"/>
      <c r="C1" s="8"/>
      <c r="D1" s="8"/>
      <c r="E1" s="8"/>
      <c r="F1" s="8"/>
      <c r="G1" s="8"/>
      <c r="H1" s="8"/>
    </row>
    <row r="2" spans="1:12" x14ac:dyDescent="0.3">
      <c r="A2" s="8" t="s">
        <v>1</v>
      </c>
      <c r="B2" s="8"/>
      <c r="C2" s="8"/>
      <c r="D2" s="8"/>
      <c r="E2" s="8"/>
      <c r="F2" s="8"/>
      <c r="G2" s="8"/>
      <c r="H2" s="8"/>
    </row>
    <row r="4" spans="1:12" ht="28.8" x14ac:dyDescent="0.3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J4" s="9" t="s">
        <v>10</v>
      </c>
      <c r="L4" s="1" t="s">
        <v>11</v>
      </c>
    </row>
    <row r="5" spans="1:12" x14ac:dyDescent="0.3">
      <c r="A5" s="3" t="s">
        <v>12</v>
      </c>
      <c r="B5" s="4">
        <v>10</v>
      </c>
      <c r="C5" s="4">
        <v>6</v>
      </c>
      <c r="D5" s="4">
        <v>6</v>
      </c>
      <c r="E5" s="4">
        <v>2</v>
      </c>
      <c r="F5" s="4">
        <v>3</v>
      </c>
      <c r="G5" s="4">
        <v>6</v>
      </c>
      <c r="H5" s="5">
        <f>ROUND(AVERAGE(B5:G5),0)</f>
        <v>6</v>
      </c>
      <c r="J5" s="9"/>
      <c r="L5" t="str" cm="1">
        <f t="array" ref="L5:L29">_xlfn._xlws.SORT(A5:A29)</f>
        <v>Alvarado</v>
      </c>
    </row>
    <row r="6" spans="1:12" x14ac:dyDescent="0.3">
      <c r="A6" s="3" t="s">
        <v>13</v>
      </c>
      <c r="B6" s="4">
        <v>6</v>
      </c>
      <c r="C6" s="4">
        <v>10</v>
      </c>
      <c r="D6" s="4">
        <v>7</v>
      </c>
      <c r="E6" s="4">
        <v>9</v>
      </c>
      <c r="F6" s="4">
        <v>10</v>
      </c>
      <c r="G6" s="4">
        <v>8</v>
      </c>
      <c r="H6" s="5">
        <f t="shared" ref="H6:H29" si="0">ROUND(AVERAGE(B6:G6),0)</f>
        <v>8</v>
      </c>
      <c r="J6" s="6">
        <f t="array" ref="J6">AVERAGE(IF(H5:H29&lt;6,H5:H29,""))</f>
        <v>4</v>
      </c>
      <c r="L6" t="str">
        <v>Álvarez</v>
      </c>
    </row>
    <row r="7" spans="1:12" x14ac:dyDescent="0.3">
      <c r="A7" s="3" t="s">
        <v>14</v>
      </c>
      <c r="B7" s="4">
        <v>7</v>
      </c>
      <c r="C7" s="4">
        <v>10</v>
      </c>
      <c r="D7" s="4">
        <v>8</v>
      </c>
      <c r="E7" s="4">
        <v>2</v>
      </c>
      <c r="F7" s="4">
        <v>9</v>
      </c>
      <c r="G7" s="4">
        <v>9</v>
      </c>
      <c r="H7" s="5">
        <f t="shared" si="0"/>
        <v>8</v>
      </c>
      <c r="L7" t="str">
        <v>Antuna</v>
      </c>
    </row>
    <row r="8" spans="1:12" x14ac:dyDescent="0.3">
      <c r="A8" s="3" t="s">
        <v>15</v>
      </c>
      <c r="B8" s="4">
        <v>10</v>
      </c>
      <c r="C8" s="4">
        <v>10</v>
      </c>
      <c r="D8" s="4">
        <v>10</v>
      </c>
      <c r="E8" s="4">
        <v>6</v>
      </c>
      <c r="F8" s="4">
        <v>8</v>
      </c>
      <c r="G8" s="4">
        <v>6</v>
      </c>
      <c r="H8" s="5">
        <f t="shared" si="0"/>
        <v>8</v>
      </c>
      <c r="L8" t="str">
        <v>Araujo</v>
      </c>
    </row>
    <row r="9" spans="1:12" x14ac:dyDescent="0.3">
      <c r="A9" s="3" t="s">
        <v>16</v>
      </c>
      <c r="B9" s="4">
        <v>5</v>
      </c>
      <c r="C9" s="4">
        <v>10</v>
      </c>
      <c r="D9" s="4">
        <v>10</v>
      </c>
      <c r="E9" s="4">
        <v>8</v>
      </c>
      <c r="F9" s="4">
        <v>10</v>
      </c>
      <c r="G9" s="4">
        <v>6</v>
      </c>
      <c r="H9" s="5">
        <f t="shared" si="0"/>
        <v>8</v>
      </c>
      <c r="L9" t="str">
        <v>Arteaga</v>
      </c>
    </row>
    <row r="10" spans="1:12" x14ac:dyDescent="0.3">
      <c r="A10" s="3" t="s">
        <v>17</v>
      </c>
      <c r="B10" s="4">
        <v>9</v>
      </c>
      <c r="C10" s="4">
        <v>10</v>
      </c>
      <c r="D10" s="4">
        <v>5</v>
      </c>
      <c r="E10" s="4">
        <v>10</v>
      </c>
      <c r="F10" s="4">
        <v>5</v>
      </c>
      <c r="G10" s="4">
        <v>10</v>
      </c>
      <c r="H10" s="5">
        <f t="shared" si="0"/>
        <v>8</v>
      </c>
      <c r="L10" t="str">
        <v>Chávez</v>
      </c>
    </row>
    <row r="11" spans="1:12" x14ac:dyDescent="0.3">
      <c r="A11" s="3" t="s">
        <v>18</v>
      </c>
      <c r="B11" s="4">
        <v>6</v>
      </c>
      <c r="C11" s="4">
        <v>7</v>
      </c>
      <c r="D11" s="4">
        <v>0</v>
      </c>
      <c r="E11" s="4">
        <v>2</v>
      </c>
      <c r="F11" s="4">
        <v>2</v>
      </c>
      <c r="G11" s="4">
        <v>0</v>
      </c>
      <c r="H11" s="5">
        <f t="shared" si="0"/>
        <v>3</v>
      </c>
      <c r="L11" t="str">
        <v>Cota</v>
      </c>
    </row>
    <row r="12" spans="1:12" x14ac:dyDescent="0.3">
      <c r="A12" s="3" t="s">
        <v>19</v>
      </c>
      <c r="B12" s="4">
        <v>5</v>
      </c>
      <c r="C12" s="4">
        <v>10</v>
      </c>
      <c r="D12" s="4">
        <v>10</v>
      </c>
      <c r="E12" s="4">
        <v>10</v>
      </c>
      <c r="F12" s="4">
        <v>10</v>
      </c>
      <c r="G12" s="4">
        <v>10</v>
      </c>
      <c r="H12" s="5">
        <f t="shared" si="0"/>
        <v>9</v>
      </c>
      <c r="L12" t="str">
        <v>Funes</v>
      </c>
    </row>
    <row r="13" spans="1:12" x14ac:dyDescent="0.3">
      <c r="A13" s="3" t="s">
        <v>20</v>
      </c>
      <c r="B13" s="4">
        <v>7</v>
      </c>
      <c r="C13" s="4">
        <v>10</v>
      </c>
      <c r="D13" s="4">
        <v>10</v>
      </c>
      <c r="E13" s="4">
        <v>10</v>
      </c>
      <c r="F13" s="4">
        <v>10</v>
      </c>
      <c r="G13" s="4">
        <v>10</v>
      </c>
      <c r="H13" s="5">
        <f t="shared" si="0"/>
        <v>10</v>
      </c>
      <c r="L13" t="str">
        <v>Gallardo</v>
      </c>
    </row>
    <row r="14" spans="1:12" x14ac:dyDescent="0.3">
      <c r="A14" s="3" t="s">
        <v>21</v>
      </c>
      <c r="B14" s="4">
        <v>10</v>
      </c>
      <c r="C14" s="4">
        <v>7</v>
      </c>
      <c r="D14" s="4">
        <v>9</v>
      </c>
      <c r="E14" s="4">
        <v>6</v>
      </c>
      <c r="F14" s="4">
        <v>6</v>
      </c>
      <c r="G14" s="4">
        <v>7</v>
      </c>
      <c r="H14" s="5">
        <f t="shared" si="0"/>
        <v>8</v>
      </c>
      <c r="L14" t="str">
        <v>Guardado</v>
      </c>
    </row>
    <row r="15" spans="1:12" x14ac:dyDescent="0.3">
      <c r="A15" s="3" t="s">
        <v>22</v>
      </c>
      <c r="B15" s="4">
        <v>4</v>
      </c>
      <c r="C15" s="4">
        <v>10</v>
      </c>
      <c r="D15" s="4">
        <v>2</v>
      </c>
      <c r="E15" s="4">
        <v>8</v>
      </c>
      <c r="F15" s="4">
        <v>4</v>
      </c>
      <c r="G15" s="4">
        <v>5</v>
      </c>
      <c r="H15" s="5">
        <f t="shared" si="0"/>
        <v>6</v>
      </c>
      <c r="L15" t="str">
        <v>Gutiérrez</v>
      </c>
    </row>
    <row r="16" spans="1:12" x14ac:dyDescent="0.3">
      <c r="A16" s="3" t="s">
        <v>23</v>
      </c>
      <c r="B16" s="4">
        <v>2</v>
      </c>
      <c r="C16" s="4">
        <v>2</v>
      </c>
      <c r="D16" s="4">
        <v>3</v>
      </c>
      <c r="E16" s="4">
        <v>2</v>
      </c>
      <c r="F16" s="4">
        <v>10</v>
      </c>
      <c r="G16" s="4">
        <v>6</v>
      </c>
      <c r="H16" s="5">
        <f t="shared" si="0"/>
        <v>4</v>
      </c>
      <c r="L16" t="str">
        <v>Herrera</v>
      </c>
    </row>
    <row r="17" spans="1:12" x14ac:dyDescent="0.3">
      <c r="A17" s="3" t="s">
        <v>24</v>
      </c>
      <c r="B17" s="4">
        <v>8</v>
      </c>
      <c r="C17" s="4">
        <v>7</v>
      </c>
      <c r="D17" s="4">
        <v>5</v>
      </c>
      <c r="E17" s="4">
        <v>6</v>
      </c>
      <c r="F17" s="4">
        <v>10</v>
      </c>
      <c r="G17" s="4">
        <v>10</v>
      </c>
      <c r="H17" s="5">
        <f t="shared" si="0"/>
        <v>8</v>
      </c>
      <c r="L17" t="str">
        <v>Jiménez</v>
      </c>
    </row>
    <row r="18" spans="1:12" x14ac:dyDescent="0.3">
      <c r="A18" s="3" t="s">
        <v>25</v>
      </c>
      <c r="B18" s="4">
        <v>1</v>
      </c>
      <c r="C18" s="4">
        <v>7</v>
      </c>
      <c r="D18" s="4">
        <v>8</v>
      </c>
      <c r="E18" s="4">
        <v>3</v>
      </c>
      <c r="F18" s="4">
        <v>2</v>
      </c>
      <c r="G18" s="4">
        <v>6</v>
      </c>
      <c r="H18" s="5">
        <f t="shared" si="0"/>
        <v>5</v>
      </c>
      <c r="L18" t="str">
        <v>Lozano</v>
      </c>
    </row>
    <row r="19" spans="1:12" x14ac:dyDescent="0.3">
      <c r="A19" s="3" t="s">
        <v>26</v>
      </c>
      <c r="B19" s="4">
        <v>4</v>
      </c>
      <c r="C19" s="4">
        <v>7</v>
      </c>
      <c r="D19" s="4">
        <v>4</v>
      </c>
      <c r="E19" s="4">
        <v>9</v>
      </c>
      <c r="F19" s="4">
        <v>5</v>
      </c>
      <c r="G19" s="4">
        <v>7</v>
      </c>
      <c r="H19" s="5">
        <f t="shared" si="0"/>
        <v>6</v>
      </c>
      <c r="L19" t="str">
        <v>Martín</v>
      </c>
    </row>
    <row r="20" spans="1:12" x14ac:dyDescent="0.3">
      <c r="A20" s="3" t="s">
        <v>27</v>
      </c>
      <c r="B20" s="4">
        <v>3</v>
      </c>
      <c r="C20" s="4">
        <v>8</v>
      </c>
      <c r="D20" s="4">
        <v>10</v>
      </c>
      <c r="E20" s="4">
        <v>10</v>
      </c>
      <c r="F20" s="4">
        <v>6</v>
      </c>
      <c r="G20" s="4">
        <v>10</v>
      </c>
      <c r="H20" s="5">
        <f t="shared" si="0"/>
        <v>8</v>
      </c>
      <c r="L20" t="str">
        <v>Montes</v>
      </c>
    </row>
    <row r="21" spans="1:12" x14ac:dyDescent="0.3">
      <c r="A21" s="3" t="s">
        <v>28</v>
      </c>
      <c r="B21" s="4">
        <v>8</v>
      </c>
      <c r="C21" s="4">
        <v>4</v>
      </c>
      <c r="D21" s="4">
        <v>6</v>
      </c>
      <c r="E21" s="4">
        <v>2</v>
      </c>
      <c r="F21" s="4">
        <v>8</v>
      </c>
      <c r="G21" s="4">
        <v>5</v>
      </c>
      <c r="H21" s="5">
        <f t="shared" si="0"/>
        <v>6</v>
      </c>
      <c r="L21" t="str">
        <v>Moreno</v>
      </c>
    </row>
    <row r="22" spans="1:12" x14ac:dyDescent="0.3">
      <c r="A22" s="3" t="s">
        <v>29</v>
      </c>
      <c r="B22" s="4">
        <v>10</v>
      </c>
      <c r="C22" s="4">
        <v>10</v>
      </c>
      <c r="D22" s="4">
        <v>10</v>
      </c>
      <c r="E22" s="4">
        <v>10</v>
      </c>
      <c r="F22" s="4">
        <v>8</v>
      </c>
      <c r="G22" s="4">
        <v>10</v>
      </c>
      <c r="H22" s="5">
        <f t="shared" si="0"/>
        <v>10</v>
      </c>
      <c r="L22" t="str">
        <v>Ochoa</v>
      </c>
    </row>
    <row r="23" spans="1:12" x14ac:dyDescent="0.3">
      <c r="A23" s="3" t="s">
        <v>30</v>
      </c>
      <c r="B23" s="4">
        <v>9</v>
      </c>
      <c r="C23" s="4">
        <v>8</v>
      </c>
      <c r="D23" s="4">
        <v>5</v>
      </c>
      <c r="E23" s="4">
        <v>7</v>
      </c>
      <c r="F23" s="4">
        <v>5</v>
      </c>
      <c r="G23" s="4">
        <v>3</v>
      </c>
      <c r="H23" s="5">
        <f t="shared" si="0"/>
        <v>6</v>
      </c>
      <c r="L23" t="str">
        <v>Pineda</v>
      </c>
    </row>
    <row r="24" spans="1:12" x14ac:dyDescent="0.3">
      <c r="A24" s="3" t="s">
        <v>31</v>
      </c>
      <c r="B24" s="4">
        <v>5</v>
      </c>
      <c r="C24" s="4">
        <v>7</v>
      </c>
      <c r="D24" s="4">
        <v>4</v>
      </c>
      <c r="E24" s="4">
        <v>9</v>
      </c>
      <c r="F24" s="4">
        <v>4</v>
      </c>
      <c r="G24" s="4">
        <v>6</v>
      </c>
      <c r="H24" s="5">
        <f t="shared" si="0"/>
        <v>6</v>
      </c>
      <c r="L24" t="str">
        <v>Rodríguez</v>
      </c>
    </row>
    <row r="25" spans="1:12" x14ac:dyDescent="0.3">
      <c r="A25" s="3" t="s">
        <v>32</v>
      </c>
      <c r="B25" s="4">
        <v>10</v>
      </c>
      <c r="C25" s="4">
        <v>9</v>
      </c>
      <c r="D25" s="4">
        <v>7</v>
      </c>
      <c r="E25" s="4">
        <v>10</v>
      </c>
      <c r="F25" s="4">
        <v>5</v>
      </c>
      <c r="G25" s="4">
        <v>6</v>
      </c>
      <c r="H25" s="5">
        <f t="shared" si="0"/>
        <v>8</v>
      </c>
      <c r="L25" t="str">
        <v>Romo</v>
      </c>
    </row>
    <row r="26" spans="1:12" x14ac:dyDescent="0.3">
      <c r="A26" s="3" t="s">
        <v>33</v>
      </c>
      <c r="B26" s="4">
        <v>6</v>
      </c>
      <c r="C26" s="4">
        <v>9</v>
      </c>
      <c r="D26" s="4">
        <v>10</v>
      </c>
      <c r="E26" s="4">
        <v>4</v>
      </c>
      <c r="F26" s="4">
        <v>10</v>
      </c>
      <c r="G26" s="4">
        <v>10</v>
      </c>
      <c r="H26" s="5">
        <f t="shared" si="0"/>
        <v>8</v>
      </c>
      <c r="L26" t="str">
        <v>Sánchez</v>
      </c>
    </row>
    <row r="27" spans="1:12" x14ac:dyDescent="0.3">
      <c r="A27" s="3" t="s">
        <v>34</v>
      </c>
      <c r="B27" s="4">
        <v>10</v>
      </c>
      <c r="C27" s="4">
        <v>10</v>
      </c>
      <c r="D27" s="4">
        <v>9</v>
      </c>
      <c r="E27" s="4">
        <v>6</v>
      </c>
      <c r="F27" s="4">
        <v>10</v>
      </c>
      <c r="G27" s="4">
        <v>10</v>
      </c>
      <c r="H27" s="5">
        <f t="shared" si="0"/>
        <v>9</v>
      </c>
      <c r="L27" t="str">
        <v>Talavera</v>
      </c>
    </row>
    <row r="28" spans="1:12" x14ac:dyDescent="0.3">
      <c r="A28" s="3" t="s">
        <v>35</v>
      </c>
      <c r="B28" s="4">
        <v>8</v>
      </c>
      <c r="C28" s="4">
        <v>5</v>
      </c>
      <c r="D28" s="4">
        <v>6</v>
      </c>
      <c r="E28" s="4">
        <v>7</v>
      </c>
      <c r="F28" s="4">
        <v>6</v>
      </c>
      <c r="G28" s="4">
        <v>5</v>
      </c>
      <c r="H28" s="5">
        <f t="shared" si="0"/>
        <v>6</v>
      </c>
      <c r="L28" t="str">
        <v>Vásquez</v>
      </c>
    </row>
    <row r="29" spans="1:12" x14ac:dyDescent="0.3">
      <c r="A29" s="3" t="s">
        <v>36</v>
      </c>
      <c r="B29" s="4">
        <v>6</v>
      </c>
      <c r="C29" s="4">
        <v>8</v>
      </c>
      <c r="D29" s="4">
        <v>7</v>
      </c>
      <c r="E29" s="4">
        <v>6</v>
      </c>
      <c r="F29" s="4">
        <v>5</v>
      </c>
      <c r="G29" s="4">
        <v>3</v>
      </c>
      <c r="H29" s="5">
        <f t="shared" si="0"/>
        <v>6</v>
      </c>
      <c r="L29" t="str">
        <v>Vega</v>
      </c>
    </row>
  </sheetData>
  <mergeCells count="3">
    <mergeCell ref="A1:H1"/>
    <mergeCell ref="A2:H2"/>
    <mergeCell ref="J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Flores</dc:creator>
  <cp:lastModifiedBy>202229 - STEVEN JAVIER FLORES RODRIGUEZ</cp:lastModifiedBy>
  <dcterms:created xsi:type="dcterms:W3CDTF">2023-05-23T22:01:41Z</dcterms:created>
  <dcterms:modified xsi:type="dcterms:W3CDTF">2026-05-20T23:28:14Z</dcterms:modified>
</cp:coreProperties>
</file>